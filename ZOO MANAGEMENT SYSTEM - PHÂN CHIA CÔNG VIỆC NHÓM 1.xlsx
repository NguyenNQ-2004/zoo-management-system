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 Assignment" sheetId="1" r:id="rId5"/>
    <sheet state="visible" name="Summary" sheetId="2" r:id="rId6"/>
  </sheets>
  <definedNames/>
  <calcPr/>
</workbook>
</file>

<file path=xl/sharedStrings.xml><?xml version="1.0" encoding="utf-8"?>
<sst xmlns="http://schemas.openxmlformats.org/spreadsheetml/2006/main" count="559" uniqueCount="207">
  <si>
    <t>ZOO MANAGEMENT SYSTEM - PHÂN CHIA CÔNG VIỆC NHÓM 1</t>
  </si>
  <si>
    <t>Mỗi dòng là một task độc lập. Thành viên cập nhật Status theo tiến độ thực tế.</t>
  </si>
  <si>
    <t>STT</t>
  </si>
  <si>
    <t>Thành viên</t>
  </si>
  <si>
    <t>Module</t>
  </si>
  <si>
    <t>Phân loại</t>
  </si>
  <si>
    <t>Đầu việc chi tiết</t>
  </si>
  <si>
    <t>API / Backend liên quan</t>
  </si>
  <si>
    <t>Database / Collection</t>
  </si>
  <si>
    <t>Status</t>
  </si>
  <si>
    <t>Nguyên</t>
  </si>
  <si>
    <t>User Experience, Authentication &amp; Ticket Booking</t>
  </si>
  <si>
    <t>Frontend</t>
  </si>
  <si>
    <t>Làm màn hình Login</t>
  </si>
  <si>
    <t>POST /api/auth/login</t>
  </si>
  <si>
    <t>User</t>
  </si>
  <si>
    <t>Not Started</t>
  </si>
  <si>
    <t>Làm màn hình Register</t>
  </si>
  <si>
    <t>POST /api/auth/register</t>
  </si>
  <si>
    <t>Làm Home hiển thị khu vực, động vật và dịch vụ nổi bật</t>
  </si>
  <si>
    <t>GET /api/areas; GET /api/animals; GET /api/services</t>
  </si>
  <si>
    <t>ZooArea, Animal, Service</t>
  </si>
  <si>
    <t>Làm màn hình danh sách và chi tiết khu vực sở thú</t>
  </si>
  <si>
    <t>GET /api/areas; GET /api/areas/:id</t>
  </si>
  <si>
    <t>ZooArea</t>
  </si>
  <si>
    <t>Hiển thị danh sách động vật theo khu vực và Animal Detail</t>
  </si>
  <si>
    <t>GET /api/areas/:id/animals; GET /api/animals/:id</t>
  </si>
  <si>
    <t>Animal, ZooArea</t>
  </si>
  <si>
    <t>Làm màn hình đặt vé và nhập thông tin booking</t>
  </si>
  <si>
    <t>POST /api/tickets</t>
  </si>
  <si>
    <t>Ticket, Booking</t>
  </si>
  <si>
    <t>Làm màn hình xác nhận kết quả đặt vé</t>
  </si>
  <si>
    <t>GET /api/tickets/:id</t>
  </si>
  <si>
    <t>Làm My Tickets và xem chi tiết vé</t>
  </si>
  <si>
    <t>GET /api/tickets/my-tickets; GET /api/tickets/:id</t>
  </si>
  <si>
    <t>Ticket</t>
  </si>
  <si>
    <t>Làm Profile và cập nhật thông tin cá nhân</t>
  </si>
  <si>
    <t>GET /api/users/profile; PUT /api/users/profile</t>
  </si>
  <si>
    <t>Backend</t>
  </si>
  <si>
    <t>Xây dựng API đăng ký và đăng nhập</t>
  </si>
  <si>
    <t>POST /api/auth/register; POST /api/auth/login</t>
  </si>
  <si>
    <t>Xây dựng JWT Authentication Middleware và kiểm tra User đăng nhập</t>
  </si>
  <si>
    <t>GET /api/auth/me</t>
  </si>
  <si>
    <t>Xây dựng API lấy và cập nhật User Profile</t>
  </si>
  <si>
    <t>Xử lý tạo Booking và phát hành Ticket</t>
  </si>
  <si>
    <t>Ticket, Booking, User</t>
  </si>
  <si>
    <t>Xây dựng API lịch sử vé và chi tiết Ticket</t>
  </si>
  <si>
    <t>Ticket, User</t>
  </si>
  <si>
    <t>Xử lý hủy Ticket và cập nhật trạng thái Booking</t>
  </si>
  <si>
    <t>PUT /api/tickets/:id/cancel</t>
  </si>
  <si>
    <t>Duy</t>
  </si>
  <si>
    <t>Staff Task &amp; Daily Animal Care Operations</t>
  </si>
  <si>
    <t>Làm Staff Dashboard hiển thị tổng quan công việc</t>
  </si>
  <si>
    <t>GET /api/staff/dashboard</t>
  </si>
  <si>
    <t>StaffTask, CareLog</t>
  </si>
  <si>
    <t>Làm màn hình danh sách Task được giao</t>
  </si>
  <si>
    <t>GET /api/staff/tasks</t>
  </si>
  <si>
    <t>StaffTask</t>
  </si>
  <si>
    <t>Làm màn hình Task Detail</t>
  </si>
  <si>
    <t>GET /api/staff/tasks/:id</t>
  </si>
  <si>
    <t>Làm chức năng tìm kiếm và lọc Task theo trạng thái</t>
  </si>
  <si>
    <t>GET /api/staff/tasks?status=&amp;search=</t>
  </si>
  <si>
    <t>Làm chức năng cập nhật trạng thái Task</t>
  </si>
  <si>
    <t>PUT /api/staff/tasks/:id/status</t>
  </si>
  <si>
    <t>Làm màn hình danh sách động vật Staff phụ trách</t>
  </si>
  <si>
    <t>GET /api/staff/animals</t>
  </si>
  <si>
    <t>Animal, StaffTask</t>
  </si>
  <si>
    <t>Làm màn hình Daily Care Detail của động vật</t>
  </si>
  <si>
    <t>GET /api/staff/animals/:id/care</t>
  </si>
  <si>
    <t>Animal, CareLog</t>
  </si>
  <si>
    <t>Làm form ghi nhận hoạt động chăm sóc hàng ngày</t>
  </si>
  <si>
    <t>POST /api/staff/animals/:id/care-logs</t>
  </si>
  <si>
    <t>CareLog, Animal</t>
  </si>
  <si>
    <t>Hiển thị lịch sử chăm sóc động vật</t>
  </si>
  <si>
    <t>GET /api/staff/animals/:id/care-logs</t>
  </si>
  <si>
    <t>CareLog</t>
  </si>
  <si>
    <t>Xây dựng API Staff Dashboard Summary</t>
  </si>
  <si>
    <t>Xây dựng API danh sách, chi tiết và filter Task</t>
  </si>
  <si>
    <t>GET /api/staff/tasks; GET /api/staff/tasks/:id</t>
  </si>
  <si>
    <t>StaffTask, User</t>
  </si>
  <si>
    <t>Xử lý cập nhật Task Status và thời gian hoàn thành</t>
  </si>
  <si>
    <t>Xây dựng API lấy động vật Staff đang phụ trách</t>
  </si>
  <si>
    <t>Xử lý tạo và xem Daily Care Log</t>
  </si>
  <si>
    <t>POST /api/staff/animals/:id/care-logs; GET /api/staff/animals/:id/care-logs</t>
  </si>
  <si>
    <t>Xử lý cập nhật trạng thái chăm sóc hàng ngày của động vật</t>
  </si>
  <si>
    <t>PUT /api/staff/animals/:id/care-status</t>
  </si>
  <si>
    <t>Ngọc</t>
  </si>
  <si>
    <t>Admin, Account &amp; System Control</t>
  </si>
  <si>
    <t>Làm Admin Dashboard tổng quan hệ thống</t>
  </si>
  <si>
    <t>GET /api/admin/dashboard</t>
  </si>
  <si>
    <t>User, Animal, Ticket, StaffTask</t>
  </si>
  <si>
    <t>Làm Statistics Cards, biểu đồ Ticket và hoạt động hệ thống</t>
  </si>
  <si>
    <t>GET /api/admin/statistics; GET /api/admin/activities</t>
  </si>
  <si>
    <t>User, Animal, Ticket</t>
  </si>
  <si>
    <t>Làm User Management có tìm kiếm và filter</t>
  </si>
  <si>
    <t>GET /api/admin/users?search=&amp;status=</t>
  </si>
  <si>
    <t>Làm User Detail và chức năng khóa hoặc mở tài khoản</t>
  </si>
  <si>
    <t>GET /api/admin/users/:id; PUT /api/admin/users/:id/status</t>
  </si>
  <si>
    <t>Làm màn hình Staff Management</t>
  </si>
  <si>
    <t>GET /api/admin/staff</t>
  </si>
  <si>
    <t>Làm form tạo và chỉnh sửa tài khoản Staff</t>
  </si>
  <si>
    <t>POST /api/admin/staff; PUT /api/admin/staff/:id</t>
  </si>
  <si>
    <t>Làm chức năng phân quyền Staff và Veterinary Staff</t>
  </si>
  <si>
    <t>PUT /api/admin/staff/:id/role</t>
  </si>
  <si>
    <t>Làm màn hình tạo và giao Task cho Staff</t>
  </si>
  <si>
    <t>POST /api/admin/tasks; PUT /api/admin/tasks/:id/assign</t>
  </si>
  <si>
    <t>Làm màn hình Report và filter báo cáo</t>
  </si>
  <si>
    <t>GET /api/admin/reports?startDate=&amp;endDate=&amp;type=</t>
  </si>
  <si>
    <t>Report, Ticket</t>
  </si>
  <si>
    <t>Xây dựng Dashboard và Statistics API</t>
  </si>
  <si>
    <t>GET /api/admin/dashboard; GET /api/admin/statistics</t>
  </si>
  <si>
    <t>Xây dựng Recent System Activities API</t>
  </si>
  <si>
    <t>GET /api/admin/activities</t>
  </si>
  <si>
    <t>User, Ticket, StaffTask</t>
  </si>
  <si>
    <t>Xây dựng API quản lý, tìm kiếm và khóa User</t>
  </si>
  <si>
    <t>GET /api/admin/users; GET /api/admin/users/:id; PUT /api/admin/users/:id/status</t>
  </si>
  <si>
    <t>Xây dựng API tạo, cập nhật và quản lý Staff</t>
  </si>
  <si>
    <t>GET /api/admin/staff; POST /api/admin/staff; PUT /api/admin/staff/:id</t>
  </si>
  <si>
    <t>Xử lý phân quyền và tạo hoặc giao Task cho Staff</t>
  </si>
  <si>
    <t>PUT /api/admin/staff/:id/role; POST /api/admin/tasks; PUT /api/admin/tasks/:id/assign</t>
  </si>
  <si>
    <t>User, StaffTask</t>
  </si>
  <si>
    <t>Xây dựng Report API và xử lý filter báo cáo</t>
  </si>
  <si>
    <t>GET /api/admin/reports</t>
  </si>
  <si>
    <t>Report, Ticket, User</t>
  </si>
  <si>
    <t>Sơn</t>
  </si>
  <si>
    <t>Veterinary &amp; Animal Health Management</t>
  </si>
  <si>
    <t>Làm Veterinary Dashboard tổng quan sức khỏe động vật</t>
  </si>
  <si>
    <t>GET /api/vet/dashboard</t>
  </si>
  <si>
    <t>AnimalHealth, MedicalLog</t>
  </si>
  <si>
    <t>Làm danh sách trạng thái sức khỏe động vật</t>
  </si>
  <si>
    <t>GET /api/vet/animals/health-status</t>
  </si>
  <si>
    <t>Animal, AnimalHealth</t>
  </si>
  <si>
    <t>Làm tìm kiếm và filter theo tình trạng sức khỏe</t>
  </si>
  <si>
    <t>GET /api/vet/animals/health-status?status=&amp;search=</t>
  </si>
  <si>
    <t>AnimalHealth</t>
  </si>
  <si>
    <t>Làm màn hình Animal Health Detail</t>
  </si>
  <si>
    <t>GET /api/vet/animals/:id/health</t>
  </si>
  <si>
    <t>Làm form cập nhật tình trạng sức khỏe động vật</t>
  </si>
  <si>
    <t>PUT /api/vet/animals/:id/health-status</t>
  </si>
  <si>
    <t>Làm form ghi nhận Medical Log và kết quả khám</t>
  </si>
  <si>
    <t>POST /api/vet/animals/:id/medical-logs</t>
  </si>
  <si>
    <t>MedicalLog</t>
  </si>
  <si>
    <t>Làm form tạo Treatment Plan cho động vật</t>
  </si>
  <si>
    <t>POST /api/vet/animals/:id/treatments</t>
  </si>
  <si>
    <t>Treatment</t>
  </si>
  <si>
    <t>Làm chức năng cập nhật trạng thái điều trị</t>
  </si>
  <si>
    <t>PUT /api/vet/treatments/:id/status</t>
  </si>
  <si>
    <t>Hiển thị lịch sử khám và điều trị động vật</t>
  </si>
  <si>
    <t>GET /api/vet/animals/:id/medical-history</t>
  </si>
  <si>
    <t>MedicalLog, Treatment</t>
  </si>
  <si>
    <t>Xây dựng Veterinary Dashboard Summary API</t>
  </si>
  <si>
    <t>AnimalHealth, MedicalLog, Treatment</t>
  </si>
  <si>
    <t>Xây dựng API danh sách, chi tiết và filter Animal Health</t>
  </si>
  <si>
    <t>GET /api/vet/animals/health-status; GET /api/vet/animals/:id/health</t>
  </si>
  <si>
    <t>AnimalHealth, Animal</t>
  </si>
  <si>
    <t>Xử lý cập nhật Animal Health Status</t>
  </si>
  <si>
    <t>Xử lý tạo và xem Medical Log</t>
  </si>
  <si>
    <t>POST /api/vet/animals/:id/medical-logs; GET /api/vet/medical-logs</t>
  </si>
  <si>
    <t>Xây dựng Treatment Plan API và cập nhật Treatment Status</t>
  </si>
  <si>
    <t>POST /api/vet/animals/:id/treatments; PUT /api/vet/treatments/:id/status</t>
  </si>
  <si>
    <t>Xây dựng API lịch sử khám và điều trị theo Animal</t>
  </si>
  <si>
    <t>MedicalLog, Treatment, Animal</t>
  </si>
  <si>
    <t>Mạnh</t>
  </si>
  <si>
    <t>Zoo Area, Animal &amp; Service Management</t>
  </si>
  <si>
    <t>Làm màn hình Zoo Area Management</t>
  </si>
  <si>
    <t>GET /api/areas</t>
  </si>
  <si>
    <t>Làm form tạo Zoo Area</t>
  </si>
  <si>
    <t>POST /api/areas</t>
  </si>
  <si>
    <t>Làm chức năng sửa, xóa và cập nhật trạng thái Zoo Area</t>
  </si>
  <si>
    <t>PUT /api/areas/:id; DELETE /api/areas/:id</t>
  </si>
  <si>
    <t>Làm màn hình Animal Management có tìm kiếm và filter</t>
  </si>
  <si>
    <t>GET /api/animals?search=&amp;area=&amp;status=</t>
  </si>
  <si>
    <t>Làm form thêm Animal</t>
  </si>
  <si>
    <t>POST /api/animals</t>
  </si>
  <si>
    <t>Animal</t>
  </si>
  <si>
    <t>Làm form chỉnh sửa thông tin Animal</t>
  </si>
  <si>
    <t>PUT /api/animals/:id</t>
  </si>
  <si>
    <t>Làm chức năng phân Animal vào Zoo Area</t>
  </si>
  <si>
    <t>PUT /api/animals/:id/area</t>
  </si>
  <si>
    <t>Làm chức năng cập nhật trạng thái hoạt động của Animal</t>
  </si>
  <si>
    <t>PUT /api/animals/:id/status</t>
  </si>
  <si>
    <t>Làm màn hình Zoo Service Management</t>
  </si>
  <si>
    <t>GET /api/services</t>
  </si>
  <si>
    <t>Service</t>
  </si>
  <si>
    <t>Làm form tạo Zoo Service</t>
  </si>
  <si>
    <t>POST /api/services</t>
  </si>
  <si>
    <t>Làm chức năng chỉnh sửa và cập nhật trạng thái Service</t>
  </si>
  <si>
    <t>PUT /api/services/:id; PUT /api/services/:id/status</t>
  </si>
  <si>
    <t>Xây dựng CRUD, detail và status API cho Zoo Area</t>
  </si>
  <si>
    <t>GET /api/areas; GET /api/areas/:id; POST /api/areas; PUT /api/areas/:id; DELETE /api/areas/:id</t>
  </si>
  <si>
    <t>Xây dựng CRUD, search và filter API cho Animal</t>
  </si>
  <si>
    <t>GET /api/animals; GET /api/animals/:id; POST /api/animals; PUT /api/animals/:id; DELETE /api/animals/:id</t>
  </si>
  <si>
    <t>Xử lý phân Animal vào Area và cập nhật Animal Status</t>
  </si>
  <si>
    <t>PUT /api/animals/:id/area; PUT /api/animals/:id/status</t>
  </si>
  <si>
    <t>Xây dựng CRUD và status API cho Zoo Service</t>
  </si>
  <si>
    <t>GET /api/services; POST /api/services; PUT /api/services/:id; DELETE /api/services/:id</t>
  </si>
  <si>
    <t>ZOO MANAGEMENT SYSTEM - PROJECT SUMMARY</t>
  </si>
  <si>
    <t>KPI</t>
  </si>
  <si>
    <t>Giá trị</t>
  </si>
  <si>
    <t>Tổng số task</t>
  </si>
  <si>
    <t>Task hoàn thành</t>
  </si>
  <si>
    <t>Tiến độ toàn nhóm</t>
  </si>
  <si>
    <t>Tổng task</t>
  </si>
  <si>
    <t>In Progress</t>
  </si>
  <si>
    <t>Testing</t>
  </si>
  <si>
    <t>Completed</t>
  </si>
  <si>
    <t>Tiến độ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</si>
</sst>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rlito"/>
      <scheme val="minor"/>
    </font>
    <font>
      <b/>
      <sz val="16.0"/>
      <color rgb="FFFFFFFF"/>
      <name val="Carlito"/>
    </font>
    <font>
      <i/>
      <sz val="10.0"/>
      <color rgb="FF1F1F1F"/>
      <name val="Carlito"/>
    </font>
    <font>
      <b/>
      <sz val="11.0"/>
      <color rgb="FFFFFFFF"/>
      <name val="Carlito"/>
    </font>
    <font>
      <sz val="11.0"/>
      <color theme="1"/>
      <name val="Carlito"/>
    </font>
    <font>
      <b/>
      <sz val="12.0"/>
      <color theme="1"/>
      <name val="Carlito"/>
    </font>
    <font>
      <color theme="1"/>
      <name val="Carlito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85200C"/>
        <bgColor rgb="FF85200C"/>
      </patternFill>
    </fill>
    <fill>
      <patternFill patternType="solid">
        <fgColor rgb="FFE6B8AF"/>
        <bgColor rgb="FFE6B8AF"/>
      </patternFill>
    </fill>
    <fill>
      <patternFill patternType="solid">
        <fgColor rgb="FFEAF2F8"/>
        <bgColor rgb="FFEAF2F8"/>
      </patternFill>
    </fill>
    <fill>
      <patternFill patternType="solid">
        <fgColor rgb="FFF4ECF7"/>
        <bgColor rgb="FFF4ECF7"/>
      </patternFill>
    </fill>
    <fill>
      <patternFill patternType="solid">
        <fgColor rgb="FFFFF2CC"/>
        <bgColor rgb="FFFFF2CC"/>
      </patternFill>
    </fill>
    <fill>
      <patternFill patternType="solid">
        <fgColor rgb="FFE8F8F5"/>
        <bgColor rgb="FFE8F8F5"/>
      </patternFill>
    </fill>
    <fill>
      <patternFill patternType="solid">
        <fgColor rgb="FFD9EAD3"/>
        <bgColor rgb="FFD9EAD3"/>
      </patternFill>
    </fill>
    <fill>
      <patternFill patternType="solid">
        <fgColor rgb="FFFEF9E7"/>
        <bgColor rgb="FFFEF9E7"/>
      </patternFill>
    </fill>
    <fill>
      <patternFill patternType="solid">
        <fgColor rgb="FFC9DAF8"/>
        <bgColor rgb="FFC9DAF8"/>
      </patternFill>
    </fill>
    <fill>
      <patternFill patternType="solid">
        <fgColor rgb="FFFDEDEC"/>
        <bgColor rgb="FFFDEDEC"/>
      </patternFill>
    </fill>
    <fill>
      <patternFill patternType="solid">
        <fgColor rgb="FFEAD1DC"/>
        <bgColor rgb="FFEAD1DC"/>
      </patternFill>
    </fill>
    <fill>
      <patternFill patternType="solid">
        <fgColor rgb="FF5B9BD5"/>
        <bgColor rgb="FF5B9BD5"/>
      </patternFill>
    </fill>
  </fills>
  <borders count="9">
    <border/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2" numFmtId="0" xfId="0" applyAlignment="1" applyFill="1" applyFont="1">
      <alignment horizontal="center" vertical="center"/>
    </xf>
    <xf borderId="0" fillId="4" fontId="3" numFmtId="0" xfId="0" applyAlignment="1" applyFill="1" applyFont="1">
      <alignment horizontal="center" readingOrder="0" shrinkToFit="0" vertical="center" wrapText="1"/>
    </xf>
    <xf borderId="1" fillId="5" fontId="4" numFmtId="0" xfId="0" applyAlignment="1" applyBorder="1" applyFill="1" applyFont="1">
      <alignment horizontal="center" readingOrder="0" shrinkToFit="0" vertical="center" wrapText="1"/>
    </xf>
    <xf borderId="2" fillId="5" fontId="4" numFmtId="0" xfId="0" applyAlignment="1" applyBorder="1" applyFont="1">
      <alignment horizontal="center" readingOrder="0" shrinkToFit="0" vertical="center" wrapText="1"/>
    </xf>
    <xf borderId="2" fillId="5" fontId="4" numFmtId="0" xfId="0" applyAlignment="1" applyBorder="1" applyFont="1">
      <alignment readingOrder="0" shrinkToFit="0" vertical="center" wrapText="1"/>
    </xf>
    <xf borderId="3" fillId="6" fontId="4" numFmtId="0" xfId="0" applyAlignment="1" applyBorder="1" applyFill="1" applyFont="1">
      <alignment horizontal="center" readingOrder="0" shrinkToFit="0" vertical="center" wrapText="1"/>
    </xf>
    <xf borderId="4" fillId="5" fontId="4" numFmtId="0" xfId="0" applyAlignment="1" applyBorder="1" applyFont="1">
      <alignment horizontal="center" readingOrder="0"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0" fillId="5" fontId="4" numFmtId="0" xfId="0" applyAlignment="1" applyFont="1">
      <alignment readingOrder="0" shrinkToFit="0" vertical="center" wrapText="1"/>
    </xf>
    <xf borderId="5" fillId="6" fontId="4" numFmtId="0" xfId="0" applyAlignment="1" applyBorder="1" applyFont="1">
      <alignment horizontal="center" readingOrder="0" shrinkToFit="0" vertical="center" wrapText="1"/>
    </xf>
    <xf borderId="5" fillId="7" fontId="4" numFmtId="0" xfId="0" applyAlignment="1" applyBorder="1" applyFill="1" applyFont="1">
      <alignment horizontal="center" readingOrder="0" shrinkToFit="0" vertical="center" wrapText="1"/>
    </xf>
    <xf borderId="4" fillId="8" fontId="4" numFmtId="0" xfId="0" applyAlignment="1" applyBorder="1" applyFill="1" applyFont="1">
      <alignment horizontal="center" readingOrder="0" shrinkToFit="0" vertical="center" wrapText="1"/>
    </xf>
    <xf borderId="0" fillId="8" fontId="4" numFmtId="0" xfId="0" applyAlignment="1" applyFont="1">
      <alignment horizontal="center" readingOrder="0" shrinkToFit="0" vertical="center" wrapText="1"/>
    </xf>
    <xf borderId="0" fillId="8" fontId="4" numFmtId="0" xfId="0" applyAlignment="1" applyFont="1">
      <alignment readingOrder="0" shrinkToFit="0" vertical="center" wrapText="1"/>
    </xf>
    <xf borderId="5" fillId="9" fontId="4" numFmtId="0" xfId="0" applyAlignment="1" applyBorder="1" applyFill="1" applyFont="1">
      <alignment horizontal="center" readingOrder="0" shrinkToFit="0" vertical="center" wrapText="1"/>
    </xf>
    <xf borderId="4" fillId="10" fontId="4" numFmtId="0" xfId="0" applyAlignment="1" applyBorder="1" applyFill="1" applyFont="1">
      <alignment horizontal="center" readingOrder="0" shrinkToFit="0" vertical="center" wrapText="1"/>
    </xf>
    <xf borderId="0" fillId="10" fontId="4" numFmtId="0" xfId="0" applyAlignment="1" applyFont="1">
      <alignment horizontal="center" readingOrder="0" shrinkToFit="0" vertical="center" wrapText="1"/>
    </xf>
    <xf borderId="0" fillId="10" fontId="4" numFmtId="0" xfId="0" applyAlignment="1" applyFont="1">
      <alignment readingOrder="0" shrinkToFit="0" vertical="center" wrapText="1"/>
    </xf>
    <xf borderId="5" fillId="11" fontId="4" numFmtId="0" xfId="0" applyAlignment="1" applyBorder="1" applyFill="1" applyFont="1">
      <alignment horizontal="center" readingOrder="0" shrinkToFit="0" vertical="center" wrapText="1"/>
    </xf>
    <xf borderId="4" fillId="12" fontId="4" numFmtId="0" xfId="0" applyAlignment="1" applyBorder="1" applyFill="1" applyFont="1">
      <alignment horizontal="center" readingOrder="0" shrinkToFit="0" vertical="center" wrapText="1"/>
    </xf>
    <xf borderId="0" fillId="12" fontId="4" numFmtId="0" xfId="0" applyAlignment="1" applyFont="1">
      <alignment horizontal="center" readingOrder="0" shrinkToFit="0" vertical="center" wrapText="1"/>
    </xf>
    <xf borderId="0" fillId="12" fontId="4" numFmtId="0" xfId="0" applyAlignment="1" applyFont="1">
      <alignment readingOrder="0" shrinkToFit="0" vertical="center" wrapText="1"/>
    </xf>
    <xf borderId="5" fillId="13" fontId="4" numFmtId="0" xfId="0" applyAlignment="1" applyBorder="1" applyFill="1" applyFont="1">
      <alignment horizontal="center" readingOrder="0" shrinkToFit="0" vertical="center" wrapText="1"/>
    </xf>
    <xf borderId="4" fillId="14" fontId="4" numFmtId="0" xfId="0" applyAlignment="1" applyBorder="1" applyFill="1" applyFont="1">
      <alignment horizontal="center" readingOrder="0" shrinkToFit="0" vertical="center" wrapText="1"/>
    </xf>
    <xf borderId="0" fillId="14" fontId="4" numFmtId="0" xfId="0" applyAlignment="1" applyFont="1">
      <alignment horizontal="center" readingOrder="0" shrinkToFit="0" vertical="center" wrapText="1"/>
    </xf>
    <xf borderId="0" fillId="14" fontId="4" numFmtId="0" xfId="0" applyAlignment="1" applyFont="1">
      <alignment readingOrder="0" shrinkToFit="0" vertical="center" wrapText="1"/>
    </xf>
    <xf borderId="6" fillId="14" fontId="4" numFmtId="0" xfId="0" applyAlignment="1" applyBorder="1" applyFont="1">
      <alignment horizontal="center" readingOrder="0" shrinkToFit="0" vertical="center" wrapText="1"/>
    </xf>
    <xf borderId="7" fillId="14" fontId="4" numFmtId="0" xfId="0" applyAlignment="1" applyBorder="1" applyFont="1">
      <alignment horizontal="center" readingOrder="0" shrinkToFit="0" vertical="center" wrapText="1"/>
    </xf>
    <xf borderId="7" fillId="14" fontId="4" numFmtId="0" xfId="0" applyAlignment="1" applyBorder="1" applyFont="1">
      <alignment readingOrder="0" shrinkToFit="0" vertical="center" wrapText="1"/>
    </xf>
    <xf borderId="8" fillId="13" fontId="4" numFmtId="0" xfId="0" applyAlignment="1" applyBorder="1" applyFont="1">
      <alignment horizontal="center" readingOrder="0" shrinkToFit="0" vertical="center" wrapText="1"/>
    </xf>
    <xf borderId="1" fillId="15" fontId="3" numFmtId="0" xfId="0" applyAlignment="1" applyBorder="1" applyFill="1" applyFont="1">
      <alignment horizontal="center"/>
    </xf>
    <xf borderId="3" fillId="15" fontId="3" numFmtId="0" xfId="0" applyAlignment="1" applyBorder="1" applyFont="1">
      <alignment horizontal="center"/>
    </xf>
    <xf borderId="0" fillId="0" fontId="4" numFmtId="0" xfId="0" applyFont="1"/>
    <xf borderId="0" fillId="0" fontId="5" numFmtId="0" xfId="0" applyAlignment="1" applyFont="1">
      <alignment horizontal="center"/>
    </xf>
    <xf borderId="0" fillId="0" fontId="5" numFmtId="9" xfId="0" applyAlignment="1" applyFont="1" applyNumberFormat="1">
      <alignment horizontal="center"/>
    </xf>
    <xf borderId="1" fillId="15" fontId="3" numFmtId="0" xfId="0" applyAlignment="1" applyBorder="1" applyFont="1">
      <alignment horizontal="center" shrinkToFit="0" wrapText="1"/>
    </xf>
    <xf borderId="2" fillId="15" fontId="3" numFmtId="0" xfId="0" applyAlignment="1" applyBorder="1" applyFont="1">
      <alignment horizontal="center" shrinkToFit="0" wrapText="1"/>
    </xf>
    <xf borderId="3" fillId="15" fontId="3" numFmtId="0" xfId="0" applyAlignment="1" applyBorder="1" applyFont="1">
      <alignment horizontal="center" shrinkToFit="0" wrapText="1"/>
    </xf>
    <xf borderId="0" fillId="15" fontId="3" numFmtId="0" xfId="0" applyAlignment="1" applyFont="1">
      <alignment horizontal="center"/>
    </xf>
    <xf borderId="0" fillId="0" fontId="4" numFmtId="0" xfId="0" applyAlignment="1" applyFont="1">
      <alignment shrinkToFit="0" vertical="center" wrapText="1"/>
    </xf>
    <xf borderId="0" fillId="0" fontId="6" numFmtId="0" xfId="0" applyFont="1"/>
    <xf borderId="0" fillId="0" fontId="4" numFmtId="9" xfId="0" applyFont="1" applyNumberForma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b/>
        <color rgb="FF006100"/>
      </font>
      <fill>
        <patternFill patternType="solid">
          <fgColor rgb="FFC6E0B4"/>
          <bgColor rgb="FFC6E0B4"/>
        </patternFill>
      </fill>
      <border/>
    </dxf>
    <dxf>
      <font>
        <b/>
        <color rgb="FF9C6500"/>
      </font>
      <fill>
        <patternFill patternType="solid">
          <fgColor rgb="FFFFF2CC"/>
          <bgColor rgb="FFFFF2CC"/>
        </patternFill>
      </fill>
      <border/>
    </dxf>
    <dxf>
      <font>
        <b/>
        <color rgb="FF1F4E78"/>
      </font>
      <fill>
        <patternFill patternType="solid">
          <fgColor rgb="FFDDEBF7"/>
          <bgColor rgb="FFDDEBF7"/>
        </patternFill>
      </fill>
      <border/>
    </dxf>
    <dxf>
      <font>
        <color rgb="FF595959"/>
      </font>
      <fill>
        <patternFill patternType="solid">
          <fgColor rgb="FFE7E6E6"/>
          <bgColor rgb="FFE7E6E6"/>
        </patternFill>
      </fill>
      <border/>
    </dxf>
  </dxfs>
  <tableStyles count="2">
    <tableStyle count="3" pivot="0" name="Task Assignment-style">
      <tableStyleElement dxfId="1" type="headerRow"/>
      <tableStyleElement dxfId="2" type="firstRowStripe"/>
      <tableStyleElement dxfId="3" type="secondRowStripe"/>
    </tableStyle>
    <tableStyle count="3" pivot="0" name="Summary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Tổng số task theo thành viên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Tổng task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Summary!$A$9:$A$13</c:f>
            </c:strRef>
          </c:cat>
          <c:val>
            <c:numRef>
              <c:f>Summary!$B$9:$B$13</c:f>
              <c:numCache/>
            </c:numRef>
          </c:val>
        </c:ser>
        <c:axId val="194801756"/>
        <c:axId val="1873392081"/>
      </c:barChart>
      <c:catAx>
        <c:axId val="1948017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3392081"/>
      </c:catAx>
      <c:valAx>
        <c:axId val="18733920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801756"/>
      </c:valAx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14</xdr:row>
      <xdr:rowOff>0</xdr:rowOff>
    </xdr:from>
    <xdr:ext cx="6029325" cy="34004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H78" displayName="Table_1" name="Table_1" id="1">
  <tableColumns count="8">
    <tableColumn name="STT" id="1"/>
    <tableColumn name="Thành viên" id="2"/>
    <tableColumn name="Module" id="3"/>
    <tableColumn name="Phân loại" id="4"/>
    <tableColumn name="Đầu việc chi tiết" id="5"/>
    <tableColumn name="API / Backend liên quan" id="6"/>
    <tableColumn name="Database / Collection" id="7"/>
    <tableColumn name="Status" id="8"/>
  </tableColumns>
  <tableStyleInfo name="Task Assignment-style" showColumnStripes="0" showFirstColumn="1" showLastColumn="1" showRowStripes="1"/>
</table>
</file>

<file path=xl/tables/table2.xml><?xml version="1.0" encoding="utf-8"?>
<table xmlns="http://schemas.openxmlformats.org/spreadsheetml/2006/main" ref="A8:F13" displayName="Table_2" name="Table_2" id="2">
  <tableColumns count="6">
    <tableColumn name="Thành viên" id="1"/>
    <tableColumn name="Tổng task" id="2"/>
    <tableColumn name="Not Started" id="3"/>
    <tableColumn name="In Progress" id="4"/>
    <tableColumn name="Testing" id="5"/>
    <tableColumn name="Completed" id="6"/>
  </tableColumns>
  <tableStyleInfo name="Summ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13.0"/>
    <col customWidth="1" min="3" max="3" width="31.0"/>
    <col customWidth="1" min="4" max="4" width="12.0"/>
    <col customWidth="1" min="5" max="5" width="31.38"/>
    <col customWidth="1" min="6" max="6" width="39.0"/>
    <col customWidth="1" min="7" max="7" width="27.0"/>
    <col customWidth="1" min="8" max="8" width="16.0"/>
    <col customWidth="1" min="9" max="26" width="8.63"/>
  </cols>
  <sheetData>
    <row r="1" ht="27.75" customHeight="1">
      <c r="A1" s="1" t="s">
        <v>0</v>
      </c>
    </row>
    <row r="2" ht="21.75" customHeight="1">
      <c r="A2" s="2" t="s">
        <v>1</v>
      </c>
    </row>
    <row r="3" ht="33.7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ht="37.5" customHeight="1">
      <c r="A4" s="4">
        <v>1.0</v>
      </c>
      <c r="B4" s="5" t="s">
        <v>10</v>
      </c>
      <c r="C4" s="5" t="s">
        <v>11</v>
      </c>
      <c r="D4" s="5" t="s">
        <v>12</v>
      </c>
      <c r="E4" s="6" t="s">
        <v>13</v>
      </c>
      <c r="F4" s="6" t="s">
        <v>14</v>
      </c>
      <c r="G4" s="6" t="s">
        <v>15</v>
      </c>
      <c r="H4" s="7" t="s">
        <v>16</v>
      </c>
    </row>
    <row r="5" ht="37.5" customHeight="1">
      <c r="A5" s="8">
        <v>2.0</v>
      </c>
      <c r="B5" s="9" t="s">
        <v>10</v>
      </c>
      <c r="C5" s="9" t="s">
        <v>11</v>
      </c>
      <c r="D5" s="9" t="s">
        <v>12</v>
      </c>
      <c r="E5" s="10" t="s">
        <v>17</v>
      </c>
      <c r="F5" s="10" t="s">
        <v>18</v>
      </c>
      <c r="G5" s="10" t="s">
        <v>15</v>
      </c>
      <c r="H5" s="11" t="s">
        <v>16</v>
      </c>
    </row>
    <row r="6" ht="37.5" customHeight="1">
      <c r="A6" s="8">
        <v>3.0</v>
      </c>
      <c r="B6" s="9" t="s">
        <v>10</v>
      </c>
      <c r="C6" s="9" t="s">
        <v>11</v>
      </c>
      <c r="D6" s="9" t="s">
        <v>12</v>
      </c>
      <c r="E6" s="10" t="s">
        <v>19</v>
      </c>
      <c r="F6" s="10" t="s">
        <v>20</v>
      </c>
      <c r="G6" s="10" t="s">
        <v>21</v>
      </c>
      <c r="H6" s="11" t="s">
        <v>16</v>
      </c>
    </row>
    <row r="7" ht="37.5" customHeight="1">
      <c r="A7" s="8">
        <v>4.0</v>
      </c>
      <c r="B7" s="9" t="s">
        <v>10</v>
      </c>
      <c r="C7" s="9" t="s">
        <v>11</v>
      </c>
      <c r="D7" s="9" t="s">
        <v>12</v>
      </c>
      <c r="E7" s="10" t="s">
        <v>22</v>
      </c>
      <c r="F7" s="10" t="s">
        <v>23</v>
      </c>
      <c r="G7" s="10" t="s">
        <v>24</v>
      </c>
      <c r="H7" s="11" t="s">
        <v>16</v>
      </c>
    </row>
    <row r="8" ht="37.5" customHeight="1">
      <c r="A8" s="8">
        <v>5.0</v>
      </c>
      <c r="B8" s="9" t="s">
        <v>10</v>
      </c>
      <c r="C8" s="9" t="s">
        <v>11</v>
      </c>
      <c r="D8" s="9" t="s">
        <v>12</v>
      </c>
      <c r="E8" s="10" t="s">
        <v>25</v>
      </c>
      <c r="F8" s="10" t="s">
        <v>26</v>
      </c>
      <c r="G8" s="10" t="s">
        <v>27</v>
      </c>
      <c r="H8" s="11" t="s">
        <v>16</v>
      </c>
    </row>
    <row r="9" ht="37.5" customHeight="1">
      <c r="A9" s="8">
        <v>6.0</v>
      </c>
      <c r="B9" s="9" t="s">
        <v>10</v>
      </c>
      <c r="C9" s="9" t="s">
        <v>11</v>
      </c>
      <c r="D9" s="9" t="s">
        <v>12</v>
      </c>
      <c r="E9" s="10" t="s">
        <v>28</v>
      </c>
      <c r="F9" s="10" t="s">
        <v>29</v>
      </c>
      <c r="G9" s="10" t="s">
        <v>30</v>
      </c>
      <c r="H9" s="11" t="s">
        <v>16</v>
      </c>
    </row>
    <row r="10" ht="37.5" customHeight="1">
      <c r="A10" s="8">
        <v>7.0</v>
      </c>
      <c r="B10" s="9" t="s">
        <v>10</v>
      </c>
      <c r="C10" s="9" t="s">
        <v>11</v>
      </c>
      <c r="D10" s="9" t="s">
        <v>12</v>
      </c>
      <c r="E10" s="10" t="s">
        <v>31</v>
      </c>
      <c r="F10" s="10" t="s">
        <v>32</v>
      </c>
      <c r="G10" s="10" t="s">
        <v>30</v>
      </c>
      <c r="H10" s="11" t="s">
        <v>16</v>
      </c>
    </row>
    <row r="11" ht="37.5" customHeight="1">
      <c r="A11" s="8">
        <v>8.0</v>
      </c>
      <c r="B11" s="9" t="s">
        <v>10</v>
      </c>
      <c r="C11" s="9" t="s">
        <v>11</v>
      </c>
      <c r="D11" s="9" t="s">
        <v>12</v>
      </c>
      <c r="E11" s="10" t="s">
        <v>33</v>
      </c>
      <c r="F11" s="10" t="s">
        <v>34</v>
      </c>
      <c r="G11" s="10" t="s">
        <v>35</v>
      </c>
      <c r="H11" s="11" t="s">
        <v>16</v>
      </c>
    </row>
    <row r="12" ht="37.5" customHeight="1">
      <c r="A12" s="8">
        <v>9.0</v>
      </c>
      <c r="B12" s="9" t="s">
        <v>10</v>
      </c>
      <c r="C12" s="9" t="s">
        <v>11</v>
      </c>
      <c r="D12" s="9" t="s">
        <v>12</v>
      </c>
      <c r="E12" s="10" t="s">
        <v>36</v>
      </c>
      <c r="F12" s="10" t="s">
        <v>37</v>
      </c>
      <c r="G12" s="10" t="s">
        <v>15</v>
      </c>
      <c r="H12" s="11" t="s">
        <v>16</v>
      </c>
    </row>
    <row r="13" ht="37.5" customHeight="1">
      <c r="A13" s="8">
        <v>10.0</v>
      </c>
      <c r="B13" s="9" t="s">
        <v>10</v>
      </c>
      <c r="C13" s="9" t="s">
        <v>11</v>
      </c>
      <c r="D13" s="9" t="s">
        <v>38</v>
      </c>
      <c r="E13" s="10" t="s">
        <v>39</v>
      </c>
      <c r="F13" s="10" t="s">
        <v>40</v>
      </c>
      <c r="G13" s="10" t="s">
        <v>15</v>
      </c>
      <c r="H13" s="11" t="s">
        <v>16</v>
      </c>
    </row>
    <row r="14" ht="37.5" customHeight="1">
      <c r="A14" s="8">
        <v>11.0</v>
      </c>
      <c r="B14" s="9" t="s">
        <v>10</v>
      </c>
      <c r="C14" s="9" t="s">
        <v>11</v>
      </c>
      <c r="D14" s="9" t="s">
        <v>38</v>
      </c>
      <c r="E14" s="10" t="s">
        <v>41</v>
      </c>
      <c r="F14" s="10" t="s">
        <v>42</v>
      </c>
      <c r="G14" s="10" t="s">
        <v>15</v>
      </c>
      <c r="H14" s="11" t="s">
        <v>16</v>
      </c>
    </row>
    <row r="15" ht="37.5" customHeight="1">
      <c r="A15" s="8">
        <v>12.0</v>
      </c>
      <c r="B15" s="9" t="s">
        <v>10</v>
      </c>
      <c r="C15" s="9" t="s">
        <v>11</v>
      </c>
      <c r="D15" s="9" t="s">
        <v>38</v>
      </c>
      <c r="E15" s="10" t="s">
        <v>43</v>
      </c>
      <c r="F15" s="10" t="s">
        <v>37</v>
      </c>
      <c r="G15" s="10" t="s">
        <v>15</v>
      </c>
      <c r="H15" s="11" t="s">
        <v>16</v>
      </c>
    </row>
    <row r="16" ht="37.5" customHeight="1">
      <c r="A16" s="8">
        <v>13.0</v>
      </c>
      <c r="B16" s="9" t="s">
        <v>10</v>
      </c>
      <c r="C16" s="9" t="s">
        <v>11</v>
      </c>
      <c r="D16" s="9" t="s">
        <v>38</v>
      </c>
      <c r="E16" s="10" t="s">
        <v>44</v>
      </c>
      <c r="F16" s="10" t="s">
        <v>29</v>
      </c>
      <c r="G16" s="10" t="s">
        <v>45</v>
      </c>
      <c r="H16" s="11" t="s">
        <v>16</v>
      </c>
    </row>
    <row r="17" ht="37.5" customHeight="1">
      <c r="A17" s="8">
        <v>14.0</v>
      </c>
      <c r="B17" s="9" t="s">
        <v>10</v>
      </c>
      <c r="C17" s="9" t="s">
        <v>11</v>
      </c>
      <c r="D17" s="9" t="s">
        <v>38</v>
      </c>
      <c r="E17" s="10" t="s">
        <v>46</v>
      </c>
      <c r="F17" s="10" t="s">
        <v>34</v>
      </c>
      <c r="G17" s="10" t="s">
        <v>47</v>
      </c>
      <c r="H17" s="11" t="s">
        <v>16</v>
      </c>
    </row>
    <row r="18" ht="37.5" customHeight="1">
      <c r="A18" s="8">
        <v>15.0</v>
      </c>
      <c r="B18" s="9" t="s">
        <v>10</v>
      </c>
      <c r="C18" s="9" t="s">
        <v>11</v>
      </c>
      <c r="D18" s="9" t="s">
        <v>38</v>
      </c>
      <c r="E18" s="10" t="s">
        <v>48</v>
      </c>
      <c r="F18" s="10" t="s">
        <v>49</v>
      </c>
      <c r="G18" s="10" t="s">
        <v>30</v>
      </c>
      <c r="H18" s="12" t="s">
        <v>16</v>
      </c>
    </row>
    <row r="19" ht="37.5" customHeight="1">
      <c r="A19" s="13">
        <v>16.0</v>
      </c>
      <c r="B19" s="14" t="s">
        <v>50</v>
      </c>
      <c r="C19" s="14" t="s">
        <v>51</v>
      </c>
      <c r="D19" s="14" t="s">
        <v>12</v>
      </c>
      <c r="E19" s="15" t="s">
        <v>52</v>
      </c>
      <c r="F19" s="15" t="s">
        <v>53</v>
      </c>
      <c r="G19" s="15" t="s">
        <v>54</v>
      </c>
      <c r="H19" s="12" t="s">
        <v>16</v>
      </c>
    </row>
    <row r="20" ht="37.5" customHeight="1">
      <c r="A20" s="13">
        <v>17.0</v>
      </c>
      <c r="B20" s="14" t="s">
        <v>50</v>
      </c>
      <c r="C20" s="14" t="s">
        <v>51</v>
      </c>
      <c r="D20" s="14" t="s">
        <v>12</v>
      </c>
      <c r="E20" s="15" t="s">
        <v>55</v>
      </c>
      <c r="F20" s="15" t="s">
        <v>56</v>
      </c>
      <c r="G20" s="15" t="s">
        <v>57</v>
      </c>
      <c r="H20" s="12" t="s">
        <v>16</v>
      </c>
    </row>
    <row r="21" ht="37.5" customHeight="1">
      <c r="A21" s="13">
        <v>18.0</v>
      </c>
      <c r="B21" s="14" t="s">
        <v>50</v>
      </c>
      <c r="C21" s="14" t="s">
        <v>51</v>
      </c>
      <c r="D21" s="14" t="s">
        <v>12</v>
      </c>
      <c r="E21" s="15" t="s">
        <v>58</v>
      </c>
      <c r="F21" s="15" t="s">
        <v>59</v>
      </c>
      <c r="G21" s="15" t="s">
        <v>57</v>
      </c>
      <c r="H21" s="12" t="s">
        <v>16</v>
      </c>
    </row>
    <row r="22" ht="37.5" customHeight="1">
      <c r="A22" s="13">
        <v>19.0</v>
      </c>
      <c r="B22" s="14" t="s">
        <v>50</v>
      </c>
      <c r="C22" s="14" t="s">
        <v>51</v>
      </c>
      <c r="D22" s="14" t="s">
        <v>12</v>
      </c>
      <c r="E22" s="15" t="s">
        <v>60</v>
      </c>
      <c r="F22" s="15" t="s">
        <v>61</v>
      </c>
      <c r="G22" s="15" t="s">
        <v>57</v>
      </c>
      <c r="H22" s="12" t="s">
        <v>16</v>
      </c>
    </row>
    <row r="23" ht="37.5" customHeight="1">
      <c r="A23" s="13">
        <v>20.0</v>
      </c>
      <c r="B23" s="14" t="s">
        <v>50</v>
      </c>
      <c r="C23" s="14" t="s">
        <v>51</v>
      </c>
      <c r="D23" s="14" t="s">
        <v>12</v>
      </c>
      <c r="E23" s="15" t="s">
        <v>62</v>
      </c>
      <c r="F23" s="15" t="s">
        <v>63</v>
      </c>
      <c r="G23" s="15" t="s">
        <v>57</v>
      </c>
      <c r="H23" s="12" t="s">
        <v>16</v>
      </c>
    </row>
    <row r="24" ht="37.5" customHeight="1">
      <c r="A24" s="13">
        <v>21.0</v>
      </c>
      <c r="B24" s="14" t="s">
        <v>50</v>
      </c>
      <c r="C24" s="14" t="s">
        <v>51</v>
      </c>
      <c r="D24" s="14" t="s">
        <v>12</v>
      </c>
      <c r="E24" s="15" t="s">
        <v>64</v>
      </c>
      <c r="F24" s="15" t="s">
        <v>65</v>
      </c>
      <c r="G24" s="15" t="s">
        <v>66</v>
      </c>
      <c r="H24" s="12" t="s">
        <v>16</v>
      </c>
    </row>
    <row r="25" ht="37.5" customHeight="1">
      <c r="A25" s="13">
        <v>22.0</v>
      </c>
      <c r="B25" s="14" t="s">
        <v>50</v>
      </c>
      <c r="C25" s="14" t="s">
        <v>51</v>
      </c>
      <c r="D25" s="14" t="s">
        <v>12</v>
      </c>
      <c r="E25" s="15" t="s">
        <v>67</v>
      </c>
      <c r="F25" s="15" t="s">
        <v>68</v>
      </c>
      <c r="G25" s="15" t="s">
        <v>69</v>
      </c>
      <c r="H25" s="12" t="s">
        <v>16</v>
      </c>
    </row>
    <row r="26" ht="37.5" customHeight="1">
      <c r="A26" s="13">
        <v>23.0</v>
      </c>
      <c r="B26" s="14" t="s">
        <v>50</v>
      </c>
      <c r="C26" s="14" t="s">
        <v>51</v>
      </c>
      <c r="D26" s="14" t="s">
        <v>12</v>
      </c>
      <c r="E26" s="15" t="s">
        <v>70</v>
      </c>
      <c r="F26" s="15" t="s">
        <v>71</v>
      </c>
      <c r="G26" s="15" t="s">
        <v>72</v>
      </c>
      <c r="H26" s="12" t="s">
        <v>16</v>
      </c>
    </row>
    <row r="27" ht="37.5" customHeight="1">
      <c r="A27" s="13">
        <v>24.0</v>
      </c>
      <c r="B27" s="14" t="s">
        <v>50</v>
      </c>
      <c r="C27" s="14" t="s">
        <v>51</v>
      </c>
      <c r="D27" s="14" t="s">
        <v>12</v>
      </c>
      <c r="E27" s="15" t="s">
        <v>73</v>
      </c>
      <c r="F27" s="15" t="s">
        <v>74</v>
      </c>
      <c r="G27" s="15" t="s">
        <v>75</v>
      </c>
      <c r="H27" s="12" t="s">
        <v>16</v>
      </c>
    </row>
    <row r="28" ht="37.5" customHeight="1">
      <c r="A28" s="13">
        <v>25.0</v>
      </c>
      <c r="B28" s="14" t="s">
        <v>50</v>
      </c>
      <c r="C28" s="14" t="s">
        <v>51</v>
      </c>
      <c r="D28" s="14" t="s">
        <v>38</v>
      </c>
      <c r="E28" s="15" t="s">
        <v>76</v>
      </c>
      <c r="F28" s="15" t="s">
        <v>53</v>
      </c>
      <c r="G28" s="15" t="s">
        <v>54</v>
      </c>
      <c r="H28" s="12" t="s">
        <v>16</v>
      </c>
    </row>
    <row r="29" ht="37.5" customHeight="1">
      <c r="A29" s="13">
        <v>26.0</v>
      </c>
      <c r="B29" s="14" t="s">
        <v>50</v>
      </c>
      <c r="C29" s="14" t="s">
        <v>51</v>
      </c>
      <c r="D29" s="14" t="s">
        <v>38</v>
      </c>
      <c r="E29" s="15" t="s">
        <v>77</v>
      </c>
      <c r="F29" s="15" t="s">
        <v>78</v>
      </c>
      <c r="G29" s="15" t="s">
        <v>79</v>
      </c>
      <c r="H29" s="16" t="s">
        <v>16</v>
      </c>
    </row>
    <row r="30" ht="37.5" customHeight="1">
      <c r="A30" s="13">
        <v>27.0</v>
      </c>
      <c r="B30" s="14" t="s">
        <v>50</v>
      </c>
      <c r="C30" s="14" t="s">
        <v>51</v>
      </c>
      <c r="D30" s="14" t="s">
        <v>38</v>
      </c>
      <c r="E30" s="15" t="s">
        <v>80</v>
      </c>
      <c r="F30" s="15" t="s">
        <v>63</v>
      </c>
      <c r="G30" s="15" t="s">
        <v>57</v>
      </c>
      <c r="H30" s="16" t="s">
        <v>16</v>
      </c>
    </row>
    <row r="31" ht="37.5" customHeight="1">
      <c r="A31" s="13">
        <v>28.0</v>
      </c>
      <c r="B31" s="14" t="s">
        <v>50</v>
      </c>
      <c r="C31" s="14" t="s">
        <v>51</v>
      </c>
      <c r="D31" s="14" t="s">
        <v>38</v>
      </c>
      <c r="E31" s="15" t="s">
        <v>81</v>
      </c>
      <c r="F31" s="15" t="s">
        <v>65</v>
      </c>
      <c r="G31" s="15" t="s">
        <v>66</v>
      </c>
      <c r="H31" s="16" t="s">
        <v>16</v>
      </c>
    </row>
    <row r="32" ht="37.5" customHeight="1">
      <c r="A32" s="13">
        <v>29.0</v>
      </c>
      <c r="B32" s="14" t="s">
        <v>50</v>
      </c>
      <c r="C32" s="14" t="s">
        <v>51</v>
      </c>
      <c r="D32" s="14" t="s">
        <v>38</v>
      </c>
      <c r="E32" s="15" t="s">
        <v>82</v>
      </c>
      <c r="F32" s="15" t="s">
        <v>83</v>
      </c>
      <c r="G32" s="15" t="s">
        <v>72</v>
      </c>
      <c r="H32" s="16" t="s">
        <v>16</v>
      </c>
    </row>
    <row r="33" ht="37.5" customHeight="1">
      <c r="A33" s="13">
        <v>30.0</v>
      </c>
      <c r="B33" s="14" t="s">
        <v>50</v>
      </c>
      <c r="C33" s="14" t="s">
        <v>51</v>
      </c>
      <c r="D33" s="14" t="s">
        <v>38</v>
      </c>
      <c r="E33" s="15" t="s">
        <v>84</v>
      </c>
      <c r="F33" s="15" t="s">
        <v>85</v>
      </c>
      <c r="G33" s="15" t="s">
        <v>72</v>
      </c>
      <c r="H33" s="16" t="s">
        <v>16</v>
      </c>
    </row>
    <row r="34" ht="37.5" customHeight="1">
      <c r="A34" s="17">
        <v>31.0</v>
      </c>
      <c r="B34" s="18" t="s">
        <v>86</v>
      </c>
      <c r="C34" s="18" t="s">
        <v>87</v>
      </c>
      <c r="D34" s="18" t="s">
        <v>12</v>
      </c>
      <c r="E34" s="19" t="s">
        <v>88</v>
      </c>
      <c r="F34" s="19" t="s">
        <v>89</v>
      </c>
      <c r="G34" s="19" t="s">
        <v>90</v>
      </c>
      <c r="H34" s="16" t="s">
        <v>16</v>
      </c>
    </row>
    <row r="35" ht="37.5" customHeight="1">
      <c r="A35" s="17">
        <v>32.0</v>
      </c>
      <c r="B35" s="18" t="s">
        <v>86</v>
      </c>
      <c r="C35" s="18" t="s">
        <v>87</v>
      </c>
      <c r="D35" s="18" t="s">
        <v>12</v>
      </c>
      <c r="E35" s="19" t="s">
        <v>91</v>
      </c>
      <c r="F35" s="19" t="s">
        <v>92</v>
      </c>
      <c r="G35" s="19" t="s">
        <v>93</v>
      </c>
      <c r="H35" s="16" t="s">
        <v>16</v>
      </c>
    </row>
    <row r="36" ht="37.5" customHeight="1">
      <c r="A36" s="17">
        <v>33.0</v>
      </c>
      <c r="B36" s="18" t="s">
        <v>86</v>
      </c>
      <c r="C36" s="18" t="s">
        <v>87</v>
      </c>
      <c r="D36" s="18" t="s">
        <v>12</v>
      </c>
      <c r="E36" s="19" t="s">
        <v>94</v>
      </c>
      <c r="F36" s="19" t="s">
        <v>95</v>
      </c>
      <c r="G36" s="19" t="s">
        <v>15</v>
      </c>
      <c r="H36" s="16" t="s">
        <v>16</v>
      </c>
    </row>
    <row r="37" ht="37.5" customHeight="1">
      <c r="A37" s="17">
        <v>34.0</v>
      </c>
      <c r="B37" s="18" t="s">
        <v>86</v>
      </c>
      <c r="C37" s="18" t="s">
        <v>87</v>
      </c>
      <c r="D37" s="18" t="s">
        <v>12</v>
      </c>
      <c r="E37" s="19" t="s">
        <v>96</v>
      </c>
      <c r="F37" s="19" t="s">
        <v>97</v>
      </c>
      <c r="G37" s="19" t="s">
        <v>15</v>
      </c>
      <c r="H37" s="16" t="s">
        <v>16</v>
      </c>
    </row>
    <row r="38" ht="37.5" customHeight="1">
      <c r="A38" s="17">
        <v>35.0</v>
      </c>
      <c r="B38" s="18" t="s">
        <v>86</v>
      </c>
      <c r="C38" s="18" t="s">
        <v>87</v>
      </c>
      <c r="D38" s="18" t="s">
        <v>12</v>
      </c>
      <c r="E38" s="19" t="s">
        <v>98</v>
      </c>
      <c r="F38" s="19" t="s">
        <v>99</v>
      </c>
      <c r="G38" s="19" t="s">
        <v>15</v>
      </c>
      <c r="H38" s="16" t="s">
        <v>16</v>
      </c>
    </row>
    <row r="39" ht="37.5" customHeight="1">
      <c r="A39" s="17">
        <v>36.0</v>
      </c>
      <c r="B39" s="18" t="s">
        <v>86</v>
      </c>
      <c r="C39" s="18" t="s">
        <v>87</v>
      </c>
      <c r="D39" s="18" t="s">
        <v>12</v>
      </c>
      <c r="E39" s="19" t="s">
        <v>100</v>
      </c>
      <c r="F39" s="19" t="s">
        <v>101</v>
      </c>
      <c r="G39" s="19" t="s">
        <v>15</v>
      </c>
      <c r="H39" s="16" t="s">
        <v>16</v>
      </c>
    </row>
    <row r="40" ht="37.5" customHeight="1">
      <c r="A40" s="17">
        <v>37.0</v>
      </c>
      <c r="B40" s="18" t="s">
        <v>86</v>
      </c>
      <c r="C40" s="18" t="s">
        <v>87</v>
      </c>
      <c r="D40" s="18" t="s">
        <v>12</v>
      </c>
      <c r="E40" s="19" t="s">
        <v>102</v>
      </c>
      <c r="F40" s="19" t="s">
        <v>103</v>
      </c>
      <c r="G40" s="19" t="s">
        <v>15</v>
      </c>
      <c r="H40" s="16" t="s">
        <v>16</v>
      </c>
    </row>
    <row r="41" ht="37.5" customHeight="1">
      <c r="A41" s="17">
        <v>38.0</v>
      </c>
      <c r="B41" s="18" t="s">
        <v>86</v>
      </c>
      <c r="C41" s="18" t="s">
        <v>87</v>
      </c>
      <c r="D41" s="18" t="s">
        <v>12</v>
      </c>
      <c r="E41" s="19" t="s">
        <v>104</v>
      </c>
      <c r="F41" s="19" t="s">
        <v>105</v>
      </c>
      <c r="G41" s="19" t="s">
        <v>79</v>
      </c>
      <c r="H41" s="16" t="s">
        <v>16</v>
      </c>
    </row>
    <row r="42" ht="37.5" customHeight="1">
      <c r="A42" s="17">
        <v>39.0</v>
      </c>
      <c r="B42" s="18" t="s">
        <v>86</v>
      </c>
      <c r="C42" s="18" t="s">
        <v>87</v>
      </c>
      <c r="D42" s="18" t="s">
        <v>12</v>
      </c>
      <c r="E42" s="19" t="s">
        <v>106</v>
      </c>
      <c r="F42" s="19" t="s">
        <v>107</v>
      </c>
      <c r="G42" s="19" t="s">
        <v>108</v>
      </c>
      <c r="H42" s="16" t="s">
        <v>16</v>
      </c>
    </row>
    <row r="43" ht="37.5" customHeight="1">
      <c r="A43" s="17">
        <v>40.0</v>
      </c>
      <c r="B43" s="18" t="s">
        <v>86</v>
      </c>
      <c r="C43" s="18" t="s">
        <v>87</v>
      </c>
      <c r="D43" s="18" t="s">
        <v>38</v>
      </c>
      <c r="E43" s="19" t="s">
        <v>109</v>
      </c>
      <c r="F43" s="19" t="s">
        <v>110</v>
      </c>
      <c r="G43" s="19" t="s">
        <v>90</v>
      </c>
      <c r="H43" s="20" t="s">
        <v>16</v>
      </c>
    </row>
    <row r="44" ht="37.5" customHeight="1">
      <c r="A44" s="17">
        <v>41.0</v>
      </c>
      <c r="B44" s="18" t="s">
        <v>86</v>
      </c>
      <c r="C44" s="18" t="s">
        <v>87</v>
      </c>
      <c r="D44" s="18" t="s">
        <v>38</v>
      </c>
      <c r="E44" s="19" t="s">
        <v>111</v>
      </c>
      <c r="F44" s="19" t="s">
        <v>112</v>
      </c>
      <c r="G44" s="19" t="s">
        <v>113</v>
      </c>
      <c r="H44" s="20" t="s">
        <v>16</v>
      </c>
    </row>
    <row r="45" ht="37.5" customHeight="1">
      <c r="A45" s="17">
        <v>42.0</v>
      </c>
      <c r="B45" s="18" t="s">
        <v>86</v>
      </c>
      <c r="C45" s="18" t="s">
        <v>87</v>
      </c>
      <c r="D45" s="18" t="s">
        <v>38</v>
      </c>
      <c r="E45" s="19" t="s">
        <v>114</v>
      </c>
      <c r="F45" s="19" t="s">
        <v>115</v>
      </c>
      <c r="G45" s="19" t="s">
        <v>15</v>
      </c>
      <c r="H45" s="20" t="s">
        <v>16</v>
      </c>
    </row>
    <row r="46" ht="37.5" customHeight="1">
      <c r="A46" s="17">
        <v>43.0</v>
      </c>
      <c r="B46" s="18" t="s">
        <v>86</v>
      </c>
      <c r="C46" s="18" t="s">
        <v>87</v>
      </c>
      <c r="D46" s="18" t="s">
        <v>38</v>
      </c>
      <c r="E46" s="19" t="s">
        <v>116</v>
      </c>
      <c r="F46" s="19" t="s">
        <v>117</v>
      </c>
      <c r="G46" s="19" t="s">
        <v>15</v>
      </c>
      <c r="H46" s="20" t="s">
        <v>16</v>
      </c>
    </row>
    <row r="47" ht="37.5" customHeight="1">
      <c r="A47" s="17">
        <v>44.0</v>
      </c>
      <c r="B47" s="18" t="s">
        <v>86</v>
      </c>
      <c r="C47" s="18" t="s">
        <v>87</v>
      </c>
      <c r="D47" s="18" t="s">
        <v>38</v>
      </c>
      <c r="E47" s="19" t="s">
        <v>118</v>
      </c>
      <c r="F47" s="19" t="s">
        <v>119</v>
      </c>
      <c r="G47" s="19" t="s">
        <v>120</v>
      </c>
      <c r="H47" s="20" t="s">
        <v>16</v>
      </c>
    </row>
    <row r="48" ht="37.5" customHeight="1">
      <c r="A48" s="17">
        <v>45.0</v>
      </c>
      <c r="B48" s="18" t="s">
        <v>86</v>
      </c>
      <c r="C48" s="18" t="s">
        <v>87</v>
      </c>
      <c r="D48" s="18" t="s">
        <v>38</v>
      </c>
      <c r="E48" s="19" t="s">
        <v>121</v>
      </c>
      <c r="F48" s="19" t="s">
        <v>122</v>
      </c>
      <c r="G48" s="19" t="s">
        <v>123</v>
      </c>
      <c r="H48" s="20" t="s">
        <v>16</v>
      </c>
    </row>
    <row r="49" ht="37.5" customHeight="1">
      <c r="A49" s="21">
        <v>46.0</v>
      </c>
      <c r="B49" s="22" t="s">
        <v>124</v>
      </c>
      <c r="C49" s="22" t="s">
        <v>125</v>
      </c>
      <c r="D49" s="22" t="s">
        <v>12</v>
      </c>
      <c r="E49" s="23" t="s">
        <v>126</v>
      </c>
      <c r="F49" s="23" t="s">
        <v>127</v>
      </c>
      <c r="G49" s="23" t="s">
        <v>128</v>
      </c>
      <c r="H49" s="20" t="s">
        <v>16</v>
      </c>
    </row>
    <row r="50" ht="37.5" customHeight="1">
      <c r="A50" s="21">
        <v>47.0</v>
      </c>
      <c r="B50" s="22" t="s">
        <v>124</v>
      </c>
      <c r="C50" s="22" t="s">
        <v>125</v>
      </c>
      <c r="D50" s="22" t="s">
        <v>12</v>
      </c>
      <c r="E50" s="23" t="s">
        <v>129</v>
      </c>
      <c r="F50" s="23" t="s">
        <v>130</v>
      </c>
      <c r="G50" s="23" t="s">
        <v>131</v>
      </c>
      <c r="H50" s="20" t="s">
        <v>16</v>
      </c>
    </row>
    <row r="51" ht="37.5" customHeight="1">
      <c r="A51" s="21">
        <v>48.0</v>
      </c>
      <c r="B51" s="22" t="s">
        <v>124</v>
      </c>
      <c r="C51" s="22" t="s">
        <v>125</v>
      </c>
      <c r="D51" s="22" t="s">
        <v>12</v>
      </c>
      <c r="E51" s="23" t="s">
        <v>132</v>
      </c>
      <c r="F51" s="23" t="s">
        <v>133</v>
      </c>
      <c r="G51" s="23" t="s">
        <v>134</v>
      </c>
      <c r="H51" s="20" t="s">
        <v>16</v>
      </c>
    </row>
    <row r="52" ht="37.5" customHeight="1">
      <c r="A52" s="21">
        <v>49.0</v>
      </c>
      <c r="B52" s="22" t="s">
        <v>124</v>
      </c>
      <c r="C52" s="22" t="s">
        <v>125</v>
      </c>
      <c r="D52" s="22" t="s">
        <v>12</v>
      </c>
      <c r="E52" s="23" t="s">
        <v>135</v>
      </c>
      <c r="F52" s="23" t="s">
        <v>136</v>
      </c>
      <c r="G52" s="23" t="s">
        <v>131</v>
      </c>
      <c r="H52" s="20" t="s">
        <v>16</v>
      </c>
    </row>
    <row r="53" ht="37.5" customHeight="1">
      <c r="A53" s="21">
        <v>50.0</v>
      </c>
      <c r="B53" s="22" t="s">
        <v>124</v>
      </c>
      <c r="C53" s="22" t="s">
        <v>125</v>
      </c>
      <c r="D53" s="22" t="s">
        <v>12</v>
      </c>
      <c r="E53" s="23" t="s">
        <v>137</v>
      </c>
      <c r="F53" s="23" t="s">
        <v>138</v>
      </c>
      <c r="G53" s="23" t="s">
        <v>134</v>
      </c>
      <c r="H53" s="24" t="s">
        <v>16</v>
      </c>
    </row>
    <row r="54" ht="37.5" customHeight="1">
      <c r="A54" s="21">
        <v>51.0</v>
      </c>
      <c r="B54" s="22" t="s">
        <v>124</v>
      </c>
      <c r="C54" s="22" t="s">
        <v>125</v>
      </c>
      <c r="D54" s="22" t="s">
        <v>12</v>
      </c>
      <c r="E54" s="23" t="s">
        <v>139</v>
      </c>
      <c r="F54" s="23" t="s">
        <v>140</v>
      </c>
      <c r="G54" s="23" t="s">
        <v>141</v>
      </c>
      <c r="H54" s="24" t="s">
        <v>16</v>
      </c>
    </row>
    <row r="55" ht="37.5" customHeight="1">
      <c r="A55" s="21">
        <v>52.0</v>
      </c>
      <c r="B55" s="22" t="s">
        <v>124</v>
      </c>
      <c r="C55" s="22" t="s">
        <v>125</v>
      </c>
      <c r="D55" s="22" t="s">
        <v>12</v>
      </c>
      <c r="E55" s="23" t="s">
        <v>142</v>
      </c>
      <c r="F55" s="23" t="s">
        <v>143</v>
      </c>
      <c r="G55" s="23" t="s">
        <v>144</v>
      </c>
      <c r="H55" s="24" t="s">
        <v>16</v>
      </c>
    </row>
    <row r="56" ht="37.5" customHeight="1">
      <c r="A56" s="21">
        <v>53.0</v>
      </c>
      <c r="B56" s="22" t="s">
        <v>124</v>
      </c>
      <c r="C56" s="22" t="s">
        <v>125</v>
      </c>
      <c r="D56" s="22" t="s">
        <v>12</v>
      </c>
      <c r="E56" s="23" t="s">
        <v>145</v>
      </c>
      <c r="F56" s="23" t="s">
        <v>146</v>
      </c>
      <c r="G56" s="23" t="s">
        <v>144</v>
      </c>
      <c r="H56" s="24" t="s">
        <v>16</v>
      </c>
    </row>
    <row r="57" ht="37.5" customHeight="1">
      <c r="A57" s="21">
        <v>54.0</v>
      </c>
      <c r="B57" s="22" t="s">
        <v>124</v>
      </c>
      <c r="C57" s="22" t="s">
        <v>125</v>
      </c>
      <c r="D57" s="22" t="s">
        <v>12</v>
      </c>
      <c r="E57" s="23" t="s">
        <v>147</v>
      </c>
      <c r="F57" s="23" t="s">
        <v>148</v>
      </c>
      <c r="G57" s="23" t="s">
        <v>149</v>
      </c>
      <c r="H57" s="24" t="s">
        <v>16</v>
      </c>
    </row>
    <row r="58" ht="37.5" customHeight="1">
      <c r="A58" s="21">
        <v>55.0</v>
      </c>
      <c r="B58" s="22" t="s">
        <v>124</v>
      </c>
      <c r="C58" s="22" t="s">
        <v>125</v>
      </c>
      <c r="D58" s="22" t="s">
        <v>38</v>
      </c>
      <c r="E58" s="23" t="s">
        <v>150</v>
      </c>
      <c r="F58" s="23" t="s">
        <v>127</v>
      </c>
      <c r="G58" s="23" t="s">
        <v>151</v>
      </c>
      <c r="H58" s="24" t="s">
        <v>16</v>
      </c>
    </row>
    <row r="59" ht="37.5" customHeight="1">
      <c r="A59" s="21">
        <v>56.0</v>
      </c>
      <c r="B59" s="22" t="s">
        <v>124</v>
      </c>
      <c r="C59" s="22" t="s">
        <v>125</v>
      </c>
      <c r="D59" s="22" t="s">
        <v>38</v>
      </c>
      <c r="E59" s="23" t="s">
        <v>152</v>
      </c>
      <c r="F59" s="23" t="s">
        <v>153</v>
      </c>
      <c r="G59" s="23" t="s">
        <v>154</v>
      </c>
      <c r="H59" s="24" t="s">
        <v>16</v>
      </c>
    </row>
    <row r="60" ht="37.5" customHeight="1">
      <c r="A60" s="21">
        <v>57.0</v>
      </c>
      <c r="B60" s="22" t="s">
        <v>124</v>
      </c>
      <c r="C60" s="22" t="s">
        <v>125</v>
      </c>
      <c r="D60" s="22" t="s">
        <v>38</v>
      </c>
      <c r="E60" s="23" t="s">
        <v>155</v>
      </c>
      <c r="F60" s="23" t="s">
        <v>138</v>
      </c>
      <c r="G60" s="23" t="s">
        <v>134</v>
      </c>
      <c r="H60" s="24" t="s">
        <v>16</v>
      </c>
    </row>
    <row r="61" ht="37.5" customHeight="1">
      <c r="A61" s="21">
        <v>58.0</v>
      </c>
      <c r="B61" s="22" t="s">
        <v>124</v>
      </c>
      <c r="C61" s="22" t="s">
        <v>125</v>
      </c>
      <c r="D61" s="22" t="s">
        <v>38</v>
      </c>
      <c r="E61" s="23" t="s">
        <v>156</v>
      </c>
      <c r="F61" s="23" t="s">
        <v>157</v>
      </c>
      <c r="G61" s="23" t="s">
        <v>141</v>
      </c>
      <c r="H61" s="24" t="s">
        <v>16</v>
      </c>
    </row>
    <row r="62" ht="37.5" customHeight="1">
      <c r="A62" s="21">
        <v>59.0</v>
      </c>
      <c r="B62" s="22" t="s">
        <v>124</v>
      </c>
      <c r="C62" s="22" t="s">
        <v>125</v>
      </c>
      <c r="D62" s="22" t="s">
        <v>38</v>
      </c>
      <c r="E62" s="23" t="s">
        <v>158</v>
      </c>
      <c r="F62" s="23" t="s">
        <v>159</v>
      </c>
      <c r="G62" s="23" t="s">
        <v>144</v>
      </c>
      <c r="H62" s="24" t="s">
        <v>16</v>
      </c>
    </row>
    <row r="63" ht="37.5" customHeight="1">
      <c r="A63" s="21">
        <v>60.0</v>
      </c>
      <c r="B63" s="22" t="s">
        <v>124</v>
      </c>
      <c r="C63" s="22" t="s">
        <v>125</v>
      </c>
      <c r="D63" s="22" t="s">
        <v>38</v>
      </c>
      <c r="E63" s="23" t="s">
        <v>160</v>
      </c>
      <c r="F63" s="23" t="s">
        <v>148</v>
      </c>
      <c r="G63" s="23" t="s">
        <v>161</v>
      </c>
      <c r="H63" s="24" t="s">
        <v>16</v>
      </c>
    </row>
    <row r="64" ht="37.5" customHeight="1">
      <c r="A64" s="25">
        <v>61.0</v>
      </c>
      <c r="B64" s="26" t="s">
        <v>162</v>
      </c>
      <c r="C64" s="26" t="s">
        <v>163</v>
      </c>
      <c r="D64" s="26" t="s">
        <v>12</v>
      </c>
      <c r="E64" s="27" t="s">
        <v>164</v>
      </c>
      <c r="F64" s="27" t="s">
        <v>165</v>
      </c>
      <c r="G64" s="27" t="s">
        <v>24</v>
      </c>
      <c r="H64" s="24" t="s">
        <v>16</v>
      </c>
    </row>
    <row r="65" ht="37.5" customHeight="1">
      <c r="A65" s="25">
        <v>62.0</v>
      </c>
      <c r="B65" s="26" t="s">
        <v>162</v>
      </c>
      <c r="C65" s="26" t="s">
        <v>163</v>
      </c>
      <c r="D65" s="26" t="s">
        <v>12</v>
      </c>
      <c r="E65" s="27" t="s">
        <v>166</v>
      </c>
      <c r="F65" s="27" t="s">
        <v>167</v>
      </c>
      <c r="G65" s="27" t="s">
        <v>24</v>
      </c>
      <c r="H65" s="24" t="s">
        <v>16</v>
      </c>
    </row>
    <row r="66" ht="37.5" customHeight="1">
      <c r="A66" s="28">
        <v>63.0</v>
      </c>
      <c r="B66" s="29" t="s">
        <v>162</v>
      </c>
      <c r="C66" s="29" t="s">
        <v>163</v>
      </c>
      <c r="D66" s="29" t="s">
        <v>12</v>
      </c>
      <c r="E66" s="30" t="s">
        <v>168</v>
      </c>
      <c r="F66" s="30" t="s">
        <v>169</v>
      </c>
      <c r="G66" s="30" t="s">
        <v>24</v>
      </c>
      <c r="H66" s="31" t="s">
        <v>16</v>
      </c>
    </row>
    <row r="67" ht="15.75" customHeight="1">
      <c r="A67" s="26">
        <v>64.0</v>
      </c>
      <c r="B67" s="26" t="s">
        <v>162</v>
      </c>
      <c r="C67" s="26" t="s">
        <v>163</v>
      </c>
      <c r="D67" s="26" t="s">
        <v>12</v>
      </c>
      <c r="E67" s="27" t="s">
        <v>170</v>
      </c>
      <c r="F67" s="27" t="s">
        <v>171</v>
      </c>
      <c r="G67" s="27" t="s">
        <v>27</v>
      </c>
      <c r="H67" s="24" t="s">
        <v>16</v>
      </c>
    </row>
    <row r="68" ht="15.75" customHeight="1">
      <c r="A68" s="26">
        <v>65.0</v>
      </c>
      <c r="B68" s="26" t="s">
        <v>162</v>
      </c>
      <c r="C68" s="26" t="s">
        <v>163</v>
      </c>
      <c r="D68" s="26" t="s">
        <v>12</v>
      </c>
      <c r="E68" s="27" t="s">
        <v>172</v>
      </c>
      <c r="F68" s="27" t="s">
        <v>173</v>
      </c>
      <c r="G68" s="27" t="s">
        <v>174</v>
      </c>
      <c r="H68" s="24" t="s">
        <v>16</v>
      </c>
    </row>
    <row r="69" ht="15.75" customHeight="1">
      <c r="A69" s="26">
        <v>66.0</v>
      </c>
      <c r="B69" s="26" t="s">
        <v>162</v>
      </c>
      <c r="C69" s="26" t="s">
        <v>163</v>
      </c>
      <c r="D69" s="26" t="s">
        <v>12</v>
      </c>
      <c r="E69" s="27" t="s">
        <v>175</v>
      </c>
      <c r="F69" s="27" t="s">
        <v>176</v>
      </c>
      <c r="G69" s="27" t="s">
        <v>174</v>
      </c>
      <c r="H69" s="24" t="s">
        <v>16</v>
      </c>
    </row>
    <row r="70" ht="15.75" customHeight="1">
      <c r="A70" s="26">
        <v>67.0</v>
      </c>
      <c r="B70" s="26" t="s">
        <v>162</v>
      </c>
      <c r="C70" s="26" t="s">
        <v>163</v>
      </c>
      <c r="D70" s="26" t="s">
        <v>12</v>
      </c>
      <c r="E70" s="27" t="s">
        <v>177</v>
      </c>
      <c r="F70" s="27" t="s">
        <v>178</v>
      </c>
      <c r="G70" s="27" t="s">
        <v>27</v>
      </c>
      <c r="H70" s="24" t="s">
        <v>16</v>
      </c>
    </row>
    <row r="71" ht="15.75" customHeight="1">
      <c r="A71" s="26">
        <v>68.0</v>
      </c>
      <c r="B71" s="26" t="s">
        <v>162</v>
      </c>
      <c r="C71" s="26" t="s">
        <v>163</v>
      </c>
      <c r="D71" s="26" t="s">
        <v>12</v>
      </c>
      <c r="E71" s="27" t="s">
        <v>179</v>
      </c>
      <c r="F71" s="27" t="s">
        <v>180</v>
      </c>
      <c r="G71" s="27" t="s">
        <v>174</v>
      </c>
      <c r="H71" s="24" t="s">
        <v>16</v>
      </c>
    </row>
    <row r="72" ht="15.75" customHeight="1">
      <c r="A72" s="26">
        <v>69.0</v>
      </c>
      <c r="B72" s="26" t="s">
        <v>162</v>
      </c>
      <c r="C72" s="26" t="s">
        <v>163</v>
      </c>
      <c r="D72" s="26" t="s">
        <v>12</v>
      </c>
      <c r="E72" s="27" t="s">
        <v>181</v>
      </c>
      <c r="F72" s="27" t="s">
        <v>182</v>
      </c>
      <c r="G72" s="27" t="s">
        <v>183</v>
      </c>
      <c r="H72" s="24" t="s">
        <v>16</v>
      </c>
    </row>
    <row r="73" ht="15.75" customHeight="1">
      <c r="A73" s="26">
        <v>70.0</v>
      </c>
      <c r="B73" s="26" t="s">
        <v>162</v>
      </c>
      <c r="C73" s="26" t="s">
        <v>163</v>
      </c>
      <c r="D73" s="26" t="s">
        <v>12</v>
      </c>
      <c r="E73" s="27" t="s">
        <v>184</v>
      </c>
      <c r="F73" s="27" t="s">
        <v>185</v>
      </c>
      <c r="G73" s="27" t="s">
        <v>183</v>
      </c>
      <c r="H73" s="24" t="s">
        <v>16</v>
      </c>
    </row>
    <row r="74" ht="15.75" customHeight="1">
      <c r="A74" s="26">
        <v>71.0</v>
      </c>
      <c r="B74" s="26" t="s">
        <v>162</v>
      </c>
      <c r="C74" s="26" t="s">
        <v>163</v>
      </c>
      <c r="D74" s="26" t="s">
        <v>12</v>
      </c>
      <c r="E74" s="27" t="s">
        <v>186</v>
      </c>
      <c r="F74" s="27" t="s">
        <v>187</v>
      </c>
      <c r="G74" s="27" t="s">
        <v>183</v>
      </c>
      <c r="H74" s="24" t="s">
        <v>16</v>
      </c>
    </row>
    <row r="75" ht="15.75" customHeight="1">
      <c r="A75" s="26">
        <v>72.0</v>
      </c>
      <c r="B75" s="26" t="s">
        <v>162</v>
      </c>
      <c r="C75" s="26" t="s">
        <v>163</v>
      </c>
      <c r="D75" s="26" t="s">
        <v>38</v>
      </c>
      <c r="E75" s="27" t="s">
        <v>188</v>
      </c>
      <c r="F75" s="27" t="s">
        <v>189</v>
      </c>
      <c r="G75" s="27" t="s">
        <v>24</v>
      </c>
      <c r="H75" s="31" t="s">
        <v>16</v>
      </c>
    </row>
    <row r="76" ht="15.75" customHeight="1">
      <c r="A76" s="26">
        <v>73.0</v>
      </c>
      <c r="B76" s="26" t="s">
        <v>162</v>
      </c>
      <c r="C76" s="26" t="s">
        <v>163</v>
      </c>
      <c r="D76" s="26" t="s">
        <v>38</v>
      </c>
      <c r="E76" s="27" t="s">
        <v>190</v>
      </c>
      <c r="F76" s="27" t="s">
        <v>191</v>
      </c>
      <c r="G76" s="27" t="s">
        <v>174</v>
      </c>
      <c r="H76" s="24" t="s">
        <v>16</v>
      </c>
    </row>
    <row r="77" ht="15.75" customHeight="1">
      <c r="A77" s="26">
        <v>74.0</v>
      </c>
      <c r="B77" s="26" t="s">
        <v>162</v>
      </c>
      <c r="C77" s="26" t="s">
        <v>163</v>
      </c>
      <c r="D77" s="26" t="s">
        <v>38</v>
      </c>
      <c r="E77" s="27" t="s">
        <v>192</v>
      </c>
      <c r="F77" s="27" t="s">
        <v>193</v>
      </c>
      <c r="G77" s="27" t="s">
        <v>27</v>
      </c>
      <c r="H77" s="24" t="s">
        <v>16</v>
      </c>
    </row>
    <row r="78" ht="15.75" customHeight="1">
      <c r="A78" s="26">
        <v>75.0</v>
      </c>
      <c r="B78" s="26" t="s">
        <v>162</v>
      </c>
      <c r="C78" s="26" t="s">
        <v>163</v>
      </c>
      <c r="D78" s="26" t="s">
        <v>38</v>
      </c>
      <c r="E78" s="27" t="s">
        <v>194</v>
      </c>
      <c r="F78" s="27" t="s">
        <v>195</v>
      </c>
      <c r="G78" s="27" t="s">
        <v>183</v>
      </c>
      <c r="H78" s="24" t="s">
        <v>16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2">
    <mergeCell ref="A1:H1"/>
    <mergeCell ref="A2:H2"/>
  </mergeCells>
  <conditionalFormatting sqref="H4:H78">
    <cfRule type="expression" dxfId="4" priority="1">
      <formula>H4="Completed"</formula>
    </cfRule>
  </conditionalFormatting>
  <conditionalFormatting sqref="H4:H78">
    <cfRule type="expression" dxfId="5" priority="2">
      <formula>H4="In Progress"</formula>
    </cfRule>
  </conditionalFormatting>
  <conditionalFormatting sqref="H4:H78">
    <cfRule type="expression" dxfId="6" priority="3">
      <formula>H4="Testing"</formula>
    </cfRule>
  </conditionalFormatting>
  <conditionalFormatting sqref="H4:H78">
    <cfRule type="expression" dxfId="7" priority="4">
      <formula>H4="Not Started"</formula>
    </cfRule>
  </conditionalFormatting>
  <dataValidations>
    <dataValidation type="list" allowBlank="1" sqref="H4:H78">
      <formula1>"Not Started,In Progress,Testing,Completed"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4" width="14.0"/>
    <col customWidth="1" min="5" max="5" width="12.0"/>
    <col customWidth="1" min="6" max="6" width="14.0"/>
    <col customWidth="1" min="7" max="7" width="8.63"/>
    <col customWidth="1" min="8" max="8" width="20.0"/>
    <col customWidth="1" min="9" max="9" width="16.0"/>
    <col customWidth="1" min="10" max="26" width="8.63"/>
  </cols>
  <sheetData>
    <row r="1" ht="27.75" customHeight="1">
      <c r="A1" s="1" t="s">
        <v>196</v>
      </c>
    </row>
    <row r="3">
      <c r="A3" s="32" t="s">
        <v>197</v>
      </c>
      <c r="B3" s="33" t="s">
        <v>198</v>
      </c>
    </row>
    <row r="4">
      <c r="A4" s="34" t="s">
        <v>199</v>
      </c>
      <c r="B4" s="35">
        <f>COUNTA('Task Assignment'!$A$4:$A$66)</f>
        <v>63</v>
      </c>
    </row>
    <row r="5">
      <c r="A5" s="34" t="s">
        <v>200</v>
      </c>
      <c r="B5" s="35">
        <f>COUNTIF('Task Assignment'!$H$4:$H$66,"Completed")</f>
        <v>0</v>
      </c>
    </row>
    <row r="6">
      <c r="A6" s="34" t="s">
        <v>201</v>
      </c>
      <c r="B6" s="36">
        <f>IFERROR(B5/B4,0)</f>
        <v>0</v>
      </c>
    </row>
    <row r="8" ht="30.0" customHeight="1">
      <c r="A8" s="37" t="s">
        <v>3</v>
      </c>
      <c r="B8" s="38" t="s">
        <v>202</v>
      </c>
      <c r="C8" s="38" t="s">
        <v>16</v>
      </c>
      <c r="D8" s="38" t="s">
        <v>203</v>
      </c>
      <c r="E8" s="38" t="s">
        <v>204</v>
      </c>
      <c r="F8" s="39" t="s">
        <v>205</v>
      </c>
      <c r="H8" s="40" t="s">
        <v>3</v>
      </c>
      <c r="I8" s="40" t="s">
        <v>206</v>
      </c>
    </row>
    <row r="9">
      <c r="A9" s="41" t="s">
        <v>10</v>
      </c>
      <c r="B9" s="41">
        <f>COUNTIF('Task Assignment'!$B$4:$B$66,A9)</f>
        <v>15</v>
      </c>
      <c r="C9" s="41">
        <f>COUNTIFS('Task Assignment'!$B$4:$B$66,A9,'Task Assignment'!$H$4:$H$66,"Not Started")</f>
        <v>15</v>
      </c>
      <c r="D9" s="41">
        <f>COUNTIFS('Task Assignment'!$B$4:$B$66,A9,'Task Assignment'!$H$4:$H$66,"In Progress")</f>
        <v>0</v>
      </c>
      <c r="E9" s="41">
        <f>COUNTIFS('Task Assignment'!$B$4:$B$66,A9,'Task Assignment'!$H$4:$H$66,"Testing")</f>
        <v>0</v>
      </c>
      <c r="F9" s="41">
        <f>COUNTIFS('Task Assignment'!$B$4:$B$66,A9,'Task Assignment'!$H$4:$H$66,"Completed")</f>
        <v>0</v>
      </c>
      <c r="H9" s="42" t="s">
        <v>10</v>
      </c>
      <c r="I9" s="43">
        <f t="shared" ref="I9:I13" si="1">IFERROR(F9/B9,0)</f>
        <v>0</v>
      </c>
    </row>
    <row r="10">
      <c r="A10" s="41" t="s">
        <v>50</v>
      </c>
      <c r="B10" s="41">
        <f>COUNTIF('Task Assignment'!$B$4:$B$66,A10)</f>
        <v>15</v>
      </c>
      <c r="C10" s="41">
        <f>COUNTIFS('Task Assignment'!$B$4:$B$66,A10,'Task Assignment'!$H$4:$H$66,"Not Started")</f>
        <v>15</v>
      </c>
      <c r="D10" s="41">
        <f>COUNTIFS('Task Assignment'!$B$4:$B$66,A10,'Task Assignment'!$H$4:$H$66,"In Progress")</f>
        <v>0</v>
      </c>
      <c r="E10" s="41">
        <f>COUNTIFS('Task Assignment'!$B$4:$B$66,A10,'Task Assignment'!$H$4:$H$66,"Testing")</f>
        <v>0</v>
      </c>
      <c r="F10" s="41">
        <f>COUNTIFS('Task Assignment'!$B$4:$B$66,A10,'Task Assignment'!$H$4:$H$66,"Completed")</f>
        <v>0</v>
      </c>
      <c r="H10" s="42" t="s">
        <v>50</v>
      </c>
      <c r="I10" s="43">
        <f t="shared" si="1"/>
        <v>0</v>
      </c>
    </row>
    <row r="11">
      <c r="A11" s="41" t="s">
        <v>86</v>
      </c>
      <c r="B11" s="41">
        <f>COUNTIF('Task Assignment'!$B$4:$B$66,A11)</f>
        <v>15</v>
      </c>
      <c r="C11" s="41">
        <f>COUNTIFS('Task Assignment'!$B$4:$B$66,A11,'Task Assignment'!$H$4:$H$66,"Not Started")</f>
        <v>15</v>
      </c>
      <c r="D11" s="41">
        <f>COUNTIFS('Task Assignment'!$B$4:$B$66,A11,'Task Assignment'!$H$4:$H$66,"In Progress")</f>
        <v>0</v>
      </c>
      <c r="E11" s="41">
        <f>COUNTIFS('Task Assignment'!$B$4:$B$66,A11,'Task Assignment'!$H$4:$H$66,"Testing")</f>
        <v>0</v>
      </c>
      <c r="F11" s="41">
        <f>COUNTIFS('Task Assignment'!$B$4:$B$66,A11,'Task Assignment'!$H$4:$H$66,"Completed")</f>
        <v>0</v>
      </c>
      <c r="H11" s="42" t="s">
        <v>86</v>
      </c>
      <c r="I11" s="43">
        <f t="shared" si="1"/>
        <v>0</v>
      </c>
    </row>
    <row r="12">
      <c r="A12" s="41" t="s">
        <v>124</v>
      </c>
      <c r="B12" s="41">
        <f>COUNTIF('Task Assignment'!$B$4:$B$66,A12)</f>
        <v>15</v>
      </c>
      <c r="C12" s="41">
        <f>COUNTIFS('Task Assignment'!$B$4:$B$66,A12,'Task Assignment'!$H$4:$H$66,"Not Started")</f>
        <v>15</v>
      </c>
      <c r="D12" s="41">
        <f>COUNTIFS('Task Assignment'!$B$4:$B$66,A12,'Task Assignment'!$H$4:$H$66,"In Progress")</f>
        <v>0</v>
      </c>
      <c r="E12" s="41">
        <f>COUNTIFS('Task Assignment'!$B$4:$B$66,A12,'Task Assignment'!$H$4:$H$66,"Testing")</f>
        <v>0</v>
      </c>
      <c r="F12" s="41">
        <f>COUNTIFS('Task Assignment'!$B$4:$B$66,A12,'Task Assignment'!$H$4:$H$66,"Completed")</f>
        <v>0</v>
      </c>
      <c r="H12" s="42" t="s">
        <v>124</v>
      </c>
      <c r="I12" s="43">
        <f t="shared" si="1"/>
        <v>0</v>
      </c>
    </row>
    <row r="13">
      <c r="A13" s="41" t="s">
        <v>162</v>
      </c>
      <c r="B13" s="41">
        <f>COUNTIF('Task Assignment'!$B$4:$B$66,A13)</f>
        <v>3</v>
      </c>
      <c r="C13" s="41">
        <f>COUNTIFS('Task Assignment'!$B$4:$B$66,A13,'Task Assignment'!$H$4:$H$66,"Not Started")</f>
        <v>3</v>
      </c>
      <c r="D13" s="41">
        <f>COUNTIFS('Task Assignment'!$B$4:$B$66,A13,'Task Assignment'!$H$4:$H$66,"In Progress")</f>
        <v>0</v>
      </c>
      <c r="E13" s="41">
        <f>COUNTIFS('Task Assignment'!$B$4:$B$66,A13,'Task Assignment'!$H$4:$H$66,"Testing")</f>
        <v>0</v>
      </c>
      <c r="F13" s="41">
        <f>COUNTIFS('Task Assignment'!$B$4:$B$66,A13,'Task Assignment'!$H$4:$H$66,"Completed")</f>
        <v>0</v>
      </c>
      <c r="H13" s="42" t="s">
        <v>162</v>
      </c>
      <c r="I13" s="43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